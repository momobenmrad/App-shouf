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e" sheetId="1" state="visible" r:id="rId3"/>
    <sheet name="Listes" sheetId="2" state="hidden" r:id="rId4"/>
    <sheet name="Mode d'emploi" sheetId="3" state="visible" r:id="rId5"/>
  </sheets>
  <definedNames>
    <definedName function="false" hidden="false" localSheetId="0" name="_xlnm.Print_Area" vbProcedure="false">Facture!$A$1:$F$48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Numéro calculé à partir du SIREN (clé standard). Vérifie-le sur ton espace professionnel impots.gouv.fr avant la première facture.</t>
        </r>
      </text>
    </comment>
    <comment ref="B30" authorId="0">
      <text>
        <r>
          <rPr>
            <sz val="10"/>
            <rFont val="Arial"/>
            <family val="2"/>
          </rPr>
          <t xml:space="preserve">Choisis la mention dans la liste. À confirmer avec ton expert-comptable selon ton régime de TVA et le statut du client.</t>
        </r>
      </text>
    </comment>
    <comment ref="E4" authorId="0">
      <text>
        <r>
          <rPr>
            <sz val="10"/>
            <rFont val="Arial"/>
            <family val="2"/>
          </rPr>
          <t xml:space="preserve">Numérotation unique et chronologique, sans trou : FN-2026-001, FN-2026-002…</t>
        </r>
      </text>
    </comment>
    <comment ref="E7" authorId="0">
      <text>
        <r>
          <rPr>
            <sz val="10"/>
            <rFont val="Arial"/>
            <family val="2"/>
          </rPr>
          <t xml:space="preserve">Calculée automatiquement : date de facture + 15 jours. Modifie le 15 dans la formule si besoin.</t>
        </r>
      </text>
    </comment>
    <comment ref="E34" authorId="0">
      <text>
        <r>
          <rPr>
            <sz val="10"/>
            <rFont val="Arial"/>
            <family val="2"/>
          </rPr>
          <t xml:space="preserve">Taux du jour à renseigner (par ex. taux BCT ou de ta banque à la date de facture). Sert à la contre-valeur en euros pour ta comptabilité française.</t>
        </r>
      </text>
    </comment>
  </commentList>
</comments>
</file>

<file path=xl/sharedStrings.xml><?xml version="1.0" encoding="utf-8"?>
<sst xmlns="http://schemas.openxmlformats.org/spreadsheetml/2006/main" count="61" uniqueCount="59">
  <si>
    <t xml:space="preserve">Flownova</t>
  </si>
  <si>
    <t xml:space="preserve">FACTURE</t>
  </si>
  <si>
    <t xml:space="preserve">Boutiques en ligne &amp; applications — une marque de LUXEPASS SASU</t>
  </si>
  <si>
    <t xml:space="preserve">N° de facture</t>
  </si>
  <si>
    <t xml:space="preserve">FN-2026-001</t>
  </si>
  <si>
    <t xml:space="preserve">LUXEPASS — SASU au capital de 100,00 €</t>
  </si>
  <si>
    <t xml:space="preserve">Date de facture</t>
  </si>
  <si>
    <t xml:space="preserve">15 rue des Halles, 75001 Paris, France</t>
  </si>
  <si>
    <t xml:space="preserve">Date de la prestation</t>
  </si>
  <si>
    <t xml:space="preserve">RCS Paris 104 030 879 — SIREN 104 030 879</t>
  </si>
  <si>
    <t xml:space="preserve">Échéance</t>
  </si>
  <si>
    <t xml:space="preserve">N° TVA intracom. : FR96104030879</t>
  </si>
  <si>
    <t xml:space="preserve">contact@flownova.tn · +216 XX XXX XXX</t>
  </si>
  <si>
    <t xml:space="preserve">FACTURÉ À</t>
  </si>
  <si>
    <t xml:space="preserve">OBJET</t>
  </si>
  <si>
    <t xml:space="preserve">Nom du client / raison sociale</t>
  </si>
  <si>
    <t xml:space="preserve">Création d'une boutique en ligne avec application installable</t>
  </si>
  <si>
    <t xml:space="preserve">Adresse</t>
  </si>
  <si>
    <t xml:space="preserve">Code postal, Ville</t>
  </si>
  <si>
    <t xml:space="preserve">Tunisie</t>
  </si>
  <si>
    <t xml:space="preserve">Matricule fiscal / identifiant (si entreprise)</t>
  </si>
  <si>
    <t xml:space="preserve">E-mail · téléphone</t>
  </si>
  <si>
    <t xml:space="preserve">Désignation</t>
  </si>
  <si>
    <t xml:space="preserve">Qté</t>
  </si>
  <si>
    <t xml:space="preserve">Prix unitaire HT</t>
  </si>
  <si>
    <t xml:space="preserve">Total HT</t>
  </si>
  <si>
    <t xml:space="preserve">Boutique en ligne + application installable (PWA), clé en main : catalogue, commandes, paiements (livraison, Konnect, Flouci), tableau de bord, FR/AR/EN</t>
  </si>
  <si>
    <t xml:space="preserve">Remise offre de lancement</t>
  </si>
  <si>
    <t xml:space="preserve">Mise en ligne, configuration et formation à l'espace vendeur (15 min)</t>
  </si>
  <si>
    <t xml:space="preserve">Mention TVA</t>
  </si>
  <si>
    <t xml:space="preserve">TVA non applicable – article 259-1 du CGI (client professionnel établi hors UE)</t>
  </si>
  <si>
    <t xml:space="preserve">Taux de TVA</t>
  </si>
  <si>
    <t xml:space="preserve">TVA</t>
  </si>
  <si>
    <t xml:space="preserve">NET À PAYER</t>
  </si>
  <si>
    <t xml:space="preserve">Taux de change (1 € = … DT)</t>
  </si>
  <si>
    <t xml:space="preserve">Contre-valeur indicative</t>
  </si>
  <si>
    <t xml:space="preserve">RÈGLEMENT</t>
  </si>
  <si>
    <t xml:space="preserve">Mode de paiement : virement bancaire / carte bancaire (à préciser)</t>
  </si>
  <si>
    <t xml:space="preserve">Titulaire : LUXEPASS — IBAN : FR76 XXXX XXXX XXXX XXXX XXXX XXX — BIC : XXXXXXXX</t>
  </si>
  <si>
    <t xml:space="preserve">Référence à indiquer : numéro de facture</t>
  </si>
  <si>
    <t xml:space="preserve">CONDITIONS</t>
  </si>
  <si>
    <t xml:space="preserve">Paiement à l'échéance indiquée ci-dessus. Pas d'escompte pour paiement anticipé.</t>
  </si>
  <si>
    <t xml:space="preserve">En cas de retard : pénalités au taux égal à 3 fois le taux d'intérêt légal ; pour un client professionnel, indemnité forfaitaire pour frais de recouvrement de 40 € (art. L441-10 du Code de commerce).</t>
  </si>
  <si>
    <t xml:space="preserve">Propriété : à réception du paiement intégral, le client devient seul propriétaire du site, de son code source, de ses contenus et de ses données. Le nom de domaine et l'hébergement sont souscrits au nom du client et restent à sa charge (environ 100 à 250 DT par an, non inclus).</t>
  </si>
  <si>
    <t xml:space="preserve">LUXEPASS SASU · 15 rue des Halles 75001 Paris · RCS Paris 104 030 879 · Flownova est une marque de LUXEPASS</t>
  </si>
  <si>
    <t xml:space="preserve">Hors champ de la TVA française – article 259 B du CGI (client particulier établi hors UE)</t>
  </si>
  <si>
    <t xml:space="preserve">TVA non applicable, article 293 B du CGI (franchise en base)</t>
  </si>
  <si>
    <t xml:space="preserve">Mode d'emploi — modèle de facture Flownova (dinars)</t>
  </si>
  <si>
    <t xml:space="preserve">1. Remplis uniquement les cases écrites en BLEU dans l'onglet « Facture » (elles restent bleues à l'impression, comme sur une facture classique). Les totaux, la TVA, l'échéance et la contre-valeur en euros se calculent seuls.</t>
  </si>
  <si>
    <t xml:space="preserve">2. Numérote chaque facture à la suite, sans trou ni doublon : FN-2026-001, FN-2026-002… Une facture émise ne se modifie pas : en cas d'erreur, fais un avoir.</t>
  </si>
  <si>
    <t xml:space="preserve">3. Lignes : une ligne d'exemple est remplie (boutique 690 DT, remise de lancement −100 DT, formation offerte). Remplace-les par la prestation réelle ; laisse vides les lignes inutiles.</t>
  </si>
  <si>
    <t xml:space="preserve">4. Mention TVA : choisis-la dans la liste déroulante. Le taux reste à 0 % dans les cas « hors UE ». Si un jour de la TVA française s'applique, son montant doit aussi figurer en euros sur la facture.</t>
  </si>
  <si>
    <t xml:space="preserve">5. Taux de change : indique le taux du jour (1 € = … DT). La contre-valeur en euros sert à ta comptabilité française.</t>
  </si>
  <si>
    <t xml:space="preserve">6. Export : Fichier → Exporter / Télécharger → PDF (Excel, Google Sheets ou LibreOffice). La mise en page tient sur une page A4.</t>
  </si>
  <si>
    <t xml:space="preserve">À vérifier avant la première facture</t>
  </si>
  <si>
    <t xml:space="preserve">• Numéro de TVA intracommunautaire : il a été calculé à partir du SIREN ; confirme-le sur impots.gouv.fr (espace professionnel).</t>
  </si>
  <si>
    <t xml:space="preserve">• Ton régime de TVA (réel ou franchise en base) et la bonne mention selon que le client est une entreprise ou un particulier : à faire valider par ton expert-comptable.</t>
  </si>
  <si>
    <t xml:space="preserve">• Encaissement : un client en Tunisie ne peut pas librement transférer des devises vers un compte en France (réglementation des changes BCT). Facturer en dinars depuis LUXEPASS n'ouvre pas de moyen de paiement en dinars : vérifie avec ta banque comment le client te réglera avant d'envoyer la facture.</t>
  </si>
  <si>
    <t xml:space="preserve">• Ces informations sont des repères généraux, pas un conseil juridique ou fiscal.</t>
  </si>
</sst>
</file>

<file path=xl/styles.xml><?xml version="1.0" encoding="utf-8"?>
<styleSheet xmlns="http://schemas.openxmlformats.org/spreadsheetml/2006/main">
  <numFmts count="6">
    <numFmt numFmtId="164" formatCode="General"/>
    <numFmt numFmtId="165" formatCode="dd/mm/yyyy"/>
    <numFmt numFmtId="166" formatCode="#,##0.000&quot; DT&quot;;\-#,##0.000&quot; DT&quot;;\-"/>
    <numFmt numFmtId="167" formatCode="0%"/>
    <numFmt numFmtId="168" formatCode="0.000&quot; DT&quot;"/>
    <numFmt numFmtId="169" formatCode="#,##0.00&quot; €&quot;;\-#,##0.00&quot; €&quot;;\-"/>
  </numFmts>
  <fonts count="25">
    <font>
      <sz val="11"/>
      <color theme="1"/>
      <name val="Calibri"/>
      <family val="2"/>
      <charset val="1"/>
    </font>
    <font>
      <sz val="10"/>
      <name val="Arial"/>
      <family val="0"/>
    </font>
    <font>
      <sz val="10"/>
      <name val="Arial"/>
      <family val="0"/>
    </font>
    <font>
      <sz val="10"/>
      <name val="Arial"/>
      <family val="0"/>
    </font>
    <font>
      <b val="true"/>
      <sz val="22"/>
      <color rgb="FF0F766E"/>
      <name val="Arial"/>
      <family val="0"/>
      <charset val="1"/>
    </font>
    <font>
      <b val="true"/>
      <sz val="26"/>
      <color rgb="FF0D1222"/>
      <name val="Arial"/>
      <family val="0"/>
      <charset val="1"/>
    </font>
    <font>
      <sz val="9"/>
      <color rgb="FF6B7280"/>
      <name val="Arial"/>
      <family val="0"/>
      <charset val="1"/>
    </font>
    <font>
      <b val="true"/>
      <sz val="10"/>
      <color rgb="FF1E40AF"/>
      <name val="Arial"/>
      <family val="0"/>
      <charset val="1"/>
    </font>
    <font>
      <sz val="9"/>
      <color rgb="FF111827"/>
      <name val="Arial"/>
      <family val="0"/>
      <charset val="1"/>
    </font>
    <font>
      <b val="true"/>
      <sz val="10"/>
      <color rgb="FF111827"/>
      <name val="Arial"/>
      <family val="0"/>
      <charset val="1"/>
    </font>
    <font>
      <sz val="9"/>
      <color rgb="FF1E40AF"/>
      <name val="Arial"/>
      <family val="0"/>
      <charset val="1"/>
    </font>
    <font>
      <b val="true"/>
      <sz val="8"/>
      <color rgb="FFB8955A"/>
      <name val="Arial"/>
      <family val="0"/>
      <charset val="1"/>
    </font>
    <font>
      <sz val="10"/>
      <color rgb="FF1E40AF"/>
      <name val="Arial"/>
      <family val="0"/>
      <charset val="1"/>
    </font>
    <font>
      <b val="true"/>
      <sz val="9"/>
      <color rgb="FFFFFFFF"/>
      <name val="Arial"/>
      <family val="0"/>
      <charset val="1"/>
    </font>
    <font>
      <sz val="10"/>
      <color rgb="FF111827"/>
      <name val="Arial"/>
      <family val="0"/>
      <charset val="1"/>
    </font>
    <font>
      <i val="true"/>
      <sz val="9"/>
      <color rgb="FF1E40AF"/>
      <name val="Arial"/>
      <family val="0"/>
      <charset val="1"/>
    </font>
    <font>
      <b val="true"/>
      <sz val="12"/>
      <color rgb="FFFFFFFF"/>
      <name val="Arial"/>
      <family val="0"/>
      <charset val="1"/>
    </font>
    <font>
      <sz val="8"/>
      <color rgb="FF6B7280"/>
      <name val="Arial"/>
      <family val="0"/>
      <charset val="1"/>
    </font>
    <font>
      <sz val="8"/>
      <color rgb="FF1E40AF"/>
      <name val="Arial"/>
      <family val="0"/>
      <charset val="1"/>
    </font>
    <font>
      <sz val="8"/>
      <color rgb="FF374151"/>
      <name val="Arial"/>
      <family val="0"/>
      <charset val="1"/>
    </font>
    <font>
      <sz val="7"/>
      <color rgb="FF6B7280"/>
      <name val="Arial"/>
      <family val="0"/>
      <charset val="1"/>
    </font>
    <font>
      <sz val="10"/>
      <name val="Arial"/>
      <family val="2"/>
    </font>
    <font>
      <b val="true"/>
      <sz val="14"/>
      <color rgb="FF0F766E"/>
      <name val="Arial"/>
      <family val="0"/>
      <charset val="1"/>
    </font>
    <font>
      <b val="true"/>
      <sz val="11"/>
      <color rgb="FF0D1222"/>
      <name val="Arial"/>
      <family val="0"/>
      <charset val="1"/>
    </font>
    <font>
      <i val="true"/>
      <sz val="10"/>
      <color rgb="FF6B7280"/>
      <name val="Arial"/>
      <family val="0"/>
      <charset val="1"/>
    </font>
  </fonts>
  <fills count="3">
    <fill>
      <patternFill patternType="none"/>
    </fill>
    <fill>
      <patternFill patternType="gray125"/>
    </fill>
    <fill>
      <patternFill patternType="solid">
        <fgColor rgb="FF0D1222"/>
        <bgColor rgb="FF111827"/>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6" fontId="14" fillId="0"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6" fillId="2"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8" fontId="18" fillId="0" borderId="0" xfId="0" applyFont="true" applyBorder="false" applyAlignment="true" applyProtection="false">
      <alignment horizontal="right" vertical="center" textRotation="0" wrapText="false" indent="0" shrinkToFit="false"/>
      <protection locked="true" hidden="false"/>
    </xf>
    <xf numFmtId="169" fontId="17"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B8955A"/>
      <rgbColor rgb="FF0D1222"/>
      <rgbColor rgb="FF339966"/>
      <rgbColor rgb="FF111827"/>
      <rgbColor rgb="FF333300"/>
      <rgbColor rgb="FF993300"/>
      <rgbColor rgb="FF993366"/>
      <rgbColor rgb="FF1E40AF"/>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3" min="3" style="1" width="9"/>
    <col collapsed="false" customWidth="true" hidden="false" outlineLevel="0" max="4" min="4" style="1" width="17"/>
    <col collapsed="false" customWidth="true" hidden="false" outlineLevel="0" max="5" min="5" style="1" width="19"/>
    <col collapsed="false" customWidth="true" hidden="false" outlineLevel="0" max="6" min="6" style="1" width="3"/>
  </cols>
  <sheetData>
    <row r="2" customFormat="false" ht="31.5" hidden="false" customHeight="true" outlineLevel="0" collapsed="false">
      <c r="B2" s="2" t="s">
        <v>0</v>
      </c>
      <c r="D2" s="3" t="s">
        <v>1</v>
      </c>
      <c r="E2" s="3"/>
    </row>
    <row r="3" customFormat="false" ht="15" hidden="false" customHeight="true" outlineLevel="0" collapsed="false">
      <c r="B3" s="4" t="s">
        <v>2</v>
      </c>
    </row>
    <row r="4" customFormat="false" ht="15" hidden="false" customHeight="true" outlineLevel="0" collapsed="false">
      <c r="D4" s="5" t="s">
        <v>3</v>
      </c>
      <c r="E4" s="6" t="s">
        <v>4</v>
      </c>
    </row>
    <row r="5" customFormat="false" ht="15" hidden="false" customHeight="true" outlineLevel="0" collapsed="false">
      <c r="B5" s="7" t="s">
        <v>5</v>
      </c>
      <c r="D5" s="5" t="s">
        <v>6</v>
      </c>
      <c r="E5" s="8" t="n">
        <v>46323</v>
      </c>
    </row>
    <row r="6" customFormat="false" ht="15" hidden="false" customHeight="true" outlineLevel="0" collapsed="false">
      <c r="B6" s="7" t="s">
        <v>7</v>
      </c>
      <c r="D6" s="5" t="s">
        <v>8</v>
      </c>
      <c r="E6" s="8" t="n">
        <v>46323</v>
      </c>
    </row>
    <row r="7" customFormat="false" ht="15" hidden="false" customHeight="true" outlineLevel="0" collapsed="false">
      <c r="B7" s="7" t="s">
        <v>9</v>
      </c>
      <c r="D7" s="5" t="s">
        <v>10</v>
      </c>
      <c r="E7" s="9" t="n">
        <f aca="false">E5+15</f>
        <v>46338</v>
      </c>
    </row>
    <row r="8" customFormat="false" ht="15" hidden="false" customHeight="true" outlineLevel="0" collapsed="false">
      <c r="B8" s="10" t="s">
        <v>11</v>
      </c>
    </row>
    <row r="9" customFormat="false" ht="15" hidden="false" customHeight="true" outlineLevel="0" collapsed="false">
      <c r="B9" s="10" t="s">
        <v>12</v>
      </c>
    </row>
    <row r="11" customFormat="false" ht="15" hidden="false" customHeight="true" outlineLevel="0" collapsed="false">
      <c r="B11" s="11" t="s">
        <v>13</v>
      </c>
      <c r="D11" s="11" t="s">
        <v>14</v>
      </c>
    </row>
    <row r="12" customFormat="false" ht="15" hidden="false" customHeight="true" outlineLevel="0" collapsed="false">
      <c r="B12" s="12" t="s">
        <v>15</v>
      </c>
      <c r="D12" s="13" t="s">
        <v>16</v>
      </c>
      <c r="E12" s="13"/>
    </row>
    <row r="13" customFormat="false" ht="15" hidden="false" customHeight="true" outlineLevel="0" collapsed="false">
      <c r="B13" s="14" t="s">
        <v>17</v>
      </c>
      <c r="D13" s="13"/>
      <c r="E13" s="13"/>
    </row>
    <row r="14" customFormat="false" ht="15" hidden="false" customHeight="true" outlineLevel="0" collapsed="false">
      <c r="B14" s="14" t="s">
        <v>18</v>
      </c>
      <c r="D14" s="13"/>
      <c r="E14" s="13"/>
    </row>
    <row r="15" customFormat="false" ht="15" hidden="false" customHeight="true" outlineLevel="0" collapsed="false">
      <c r="B15" s="14" t="s">
        <v>19</v>
      </c>
    </row>
    <row r="16" customFormat="false" ht="15" hidden="false" customHeight="true" outlineLevel="0" collapsed="false">
      <c r="B16" s="14" t="s">
        <v>20</v>
      </c>
    </row>
    <row r="17" customFormat="false" ht="15" hidden="false" customHeight="true" outlineLevel="0" collapsed="false">
      <c r="B17" s="14" t="s">
        <v>21</v>
      </c>
    </row>
    <row r="19" customFormat="false" ht="21.75" hidden="false" customHeight="true" outlineLevel="0" collapsed="false">
      <c r="B19" s="15" t="s">
        <v>22</v>
      </c>
      <c r="C19" s="16" t="s">
        <v>23</v>
      </c>
      <c r="D19" s="17" t="s">
        <v>24</v>
      </c>
      <c r="E19" s="17" t="s">
        <v>25</v>
      </c>
    </row>
    <row r="20" customFormat="false" ht="30" hidden="false" customHeight="true" outlineLevel="0" collapsed="false">
      <c r="B20" s="18" t="s">
        <v>26</v>
      </c>
      <c r="C20" s="19" t="n">
        <v>1</v>
      </c>
      <c r="D20" s="20" t="n">
        <v>690</v>
      </c>
      <c r="E20" s="21" t="n">
        <f aca="false">IF(OR(C20="",D20=""),"",C20*D20)</f>
        <v>690</v>
      </c>
    </row>
    <row r="21" customFormat="false" ht="19.5" hidden="false" customHeight="true" outlineLevel="0" collapsed="false">
      <c r="B21" s="18" t="s">
        <v>27</v>
      </c>
      <c r="C21" s="19" t="n">
        <v>1</v>
      </c>
      <c r="D21" s="20" t="n">
        <v>-100</v>
      </c>
      <c r="E21" s="21" t="n">
        <f aca="false">IF(OR(C21="",D21=""),"",C21*D21)</f>
        <v>-100</v>
      </c>
    </row>
    <row r="22" customFormat="false" ht="19.5" hidden="false" customHeight="true" outlineLevel="0" collapsed="false">
      <c r="B22" s="18" t="s">
        <v>28</v>
      </c>
      <c r="C22" s="19" t="n">
        <v>1</v>
      </c>
      <c r="D22" s="20" t="n">
        <v>0</v>
      </c>
      <c r="E22" s="21" t="n">
        <f aca="false">IF(OR(C22="",D22=""),"",C22*D22)</f>
        <v>0</v>
      </c>
    </row>
    <row r="23" customFormat="false" ht="19.5" hidden="false" customHeight="true" outlineLevel="0" collapsed="false">
      <c r="B23" s="18"/>
      <c r="C23" s="19"/>
      <c r="D23" s="20"/>
      <c r="E23" s="21" t="str">
        <f aca="false">IF(OR(C23="",D23=""),"",C23*D23)</f>
        <v/>
      </c>
    </row>
    <row r="24" customFormat="false" ht="19.5" hidden="false" customHeight="true" outlineLevel="0" collapsed="false">
      <c r="B24" s="18"/>
      <c r="C24" s="19"/>
      <c r="D24" s="20"/>
      <c r="E24" s="21" t="str">
        <f aca="false">IF(OR(C24="",D24=""),"",C24*D24)</f>
        <v/>
      </c>
    </row>
    <row r="25" customFormat="false" ht="19.5" hidden="false" customHeight="true" outlineLevel="0" collapsed="false">
      <c r="B25" s="18"/>
      <c r="C25" s="19"/>
      <c r="D25" s="20"/>
      <c r="E25" s="21" t="str">
        <f aca="false">IF(OR(C25="",D25=""),"",C25*D25)</f>
        <v/>
      </c>
    </row>
    <row r="26" customFormat="false" ht="19.5" hidden="false" customHeight="true" outlineLevel="0" collapsed="false">
      <c r="B26" s="18"/>
      <c r="C26" s="19"/>
      <c r="D26" s="20"/>
      <c r="E26" s="21" t="str">
        <f aca="false">IF(OR(C26="",D26=""),"",C26*D26)</f>
        <v/>
      </c>
    </row>
    <row r="27" customFormat="false" ht="19.5" hidden="false" customHeight="true" outlineLevel="0" collapsed="false">
      <c r="B27" s="18"/>
      <c r="C27" s="19"/>
      <c r="D27" s="20"/>
      <c r="E27" s="21" t="str">
        <f aca="false">IF(OR(C27="",D27=""),"",C27*D27)</f>
        <v/>
      </c>
    </row>
    <row r="29" customFormat="false" ht="15" hidden="false" customHeight="true" outlineLevel="0" collapsed="false">
      <c r="B29" s="11" t="s">
        <v>29</v>
      </c>
      <c r="D29" s="22" t="s">
        <v>25</v>
      </c>
      <c r="E29" s="23" t="n">
        <f aca="false">SUM(E20:E27)</f>
        <v>590</v>
      </c>
    </row>
    <row r="30" customFormat="false" ht="30" hidden="false" customHeight="true" outlineLevel="0" collapsed="false">
      <c r="B30" s="24" t="s">
        <v>30</v>
      </c>
      <c r="D30" s="22" t="s">
        <v>31</v>
      </c>
      <c r="E30" s="25" t="n">
        <v>0</v>
      </c>
    </row>
    <row r="31" customFormat="false" ht="15" hidden="false" customHeight="true" outlineLevel="0" collapsed="false">
      <c r="D31" s="22" t="s">
        <v>32</v>
      </c>
      <c r="E31" s="26" t="n">
        <f aca="false">ROUND(E29*E30,3)</f>
        <v>0</v>
      </c>
    </row>
    <row r="32" customFormat="false" ht="24" hidden="false" customHeight="true" outlineLevel="0" collapsed="false">
      <c r="D32" s="27" t="s">
        <v>33</v>
      </c>
      <c r="E32" s="28" t="n">
        <f aca="false">E29+E31</f>
        <v>590</v>
      </c>
    </row>
    <row r="34" customFormat="false" ht="15" hidden="false" customHeight="true" outlineLevel="0" collapsed="false">
      <c r="D34" s="29" t="s">
        <v>34</v>
      </c>
      <c r="E34" s="30" t="n">
        <v>3.4</v>
      </c>
    </row>
    <row r="35" customFormat="false" ht="15" hidden="false" customHeight="true" outlineLevel="0" collapsed="false">
      <c r="D35" s="29" t="s">
        <v>35</v>
      </c>
      <c r="E35" s="31" t="n">
        <f aca="false">IF(E34&gt;0,E32/E34,"")</f>
        <v>173.529411764706</v>
      </c>
    </row>
    <row r="38" customFormat="false" ht="15" hidden="false" customHeight="true" outlineLevel="0" collapsed="false">
      <c r="B38" s="11" t="s">
        <v>36</v>
      </c>
    </row>
    <row r="39" customFormat="false" ht="15" hidden="false" customHeight="true" outlineLevel="0" collapsed="false">
      <c r="B39" s="32" t="s">
        <v>37</v>
      </c>
      <c r="C39" s="32"/>
      <c r="D39" s="32"/>
      <c r="E39" s="32"/>
    </row>
    <row r="40" customFormat="false" ht="15" hidden="false" customHeight="true" outlineLevel="0" collapsed="false">
      <c r="B40" s="32" t="s">
        <v>38</v>
      </c>
      <c r="C40" s="32"/>
      <c r="D40" s="32"/>
      <c r="E40" s="32"/>
    </row>
    <row r="41" customFormat="false" ht="15" hidden="false" customHeight="true" outlineLevel="0" collapsed="false">
      <c r="B41" s="32" t="s">
        <v>39</v>
      </c>
      <c r="C41" s="32"/>
      <c r="D41" s="32"/>
      <c r="E41" s="32"/>
    </row>
    <row r="43" customFormat="false" ht="15" hidden="false" customHeight="true" outlineLevel="0" collapsed="false">
      <c r="B43" s="11" t="s">
        <v>40</v>
      </c>
    </row>
    <row r="44" customFormat="false" ht="24" hidden="false" customHeight="true" outlineLevel="0" collapsed="false">
      <c r="B44" s="33" t="s">
        <v>41</v>
      </c>
      <c r="C44" s="33"/>
      <c r="D44" s="33"/>
      <c r="E44" s="33"/>
    </row>
    <row r="45" customFormat="false" ht="36" hidden="false" customHeight="true" outlineLevel="0" collapsed="false">
      <c r="B45" s="33" t="s">
        <v>42</v>
      </c>
      <c r="C45" s="33"/>
      <c r="D45" s="33"/>
      <c r="E45" s="33"/>
    </row>
    <row r="46" customFormat="false" ht="36" hidden="false" customHeight="true" outlineLevel="0" collapsed="false">
      <c r="B46" s="33" t="s">
        <v>43</v>
      </c>
      <c r="C46" s="33"/>
      <c r="D46" s="33"/>
      <c r="E46" s="33"/>
    </row>
    <row r="48" customFormat="false" ht="15" hidden="false" customHeight="true" outlineLevel="0" collapsed="false">
      <c r="B48" s="34" t="s">
        <v>44</v>
      </c>
      <c r="C48" s="34"/>
      <c r="D48" s="34"/>
      <c r="E48" s="34"/>
    </row>
  </sheetData>
  <mergeCells count="9">
    <mergeCell ref="D2:E2"/>
    <mergeCell ref="D12:E14"/>
    <mergeCell ref="B39:E39"/>
    <mergeCell ref="B40:E40"/>
    <mergeCell ref="B41:E41"/>
    <mergeCell ref="B44:E44"/>
    <mergeCell ref="B45:E45"/>
    <mergeCell ref="B46:E46"/>
    <mergeCell ref="B48:E48"/>
  </mergeCells>
  <dataValidations count="1">
    <dataValidation allowBlank="false" errorStyle="stop" operator="between" showDropDown="false" showErrorMessage="false" showInputMessage="false" sqref="B30" type="list">
      <formula1>Listes!$A$1:$A$3</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7" t="s">
        <v>30</v>
      </c>
    </row>
    <row r="2" customFormat="false" ht="15" hidden="false" customHeight="true" outlineLevel="0" collapsed="false">
      <c r="A2" s="7" t="s">
        <v>45</v>
      </c>
    </row>
    <row r="3" customFormat="false" ht="15" hidden="false" customHeight="true" outlineLevel="0" collapsed="false">
      <c r="A3" s="7"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s>
  <sheetData>
    <row r="1" customFormat="false" ht="30" hidden="false" customHeight="true" outlineLevel="0" collapsed="false">
      <c r="B1" s="35" t="s">
        <v>47</v>
      </c>
    </row>
    <row r="2" customFormat="false" ht="19.5" hidden="false" customHeight="true" outlineLevel="0" collapsed="false">
      <c r="B2" s="36"/>
    </row>
    <row r="3" customFormat="false" ht="36" hidden="false" customHeight="true" outlineLevel="0" collapsed="false">
      <c r="B3" s="37" t="s">
        <v>48</v>
      </c>
    </row>
    <row r="4" customFormat="false" ht="36" hidden="false" customHeight="true" outlineLevel="0" collapsed="false">
      <c r="B4" s="37" t="s">
        <v>49</v>
      </c>
    </row>
    <row r="5" customFormat="false" ht="36" hidden="false" customHeight="true" outlineLevel="0" collapsed="false">
      <c r="B5" s="37" t="s">
        <v>50</v>
      </c>
    </row>
    <row r="6" customFormat="false" ht="36" hidden="false" customHeight="true" outlineLevel="0" collapsed="false">
      <c r="B6" s="37" t="s">
        <v>51</v>
      </c>
    </row>
    <row r="7" customFormat="false" ht="36" hidden="false" customHeight="true" outlineLevel="0" collapsed="false">
      <c r="B7" s="37" t="s">
        <v>52</v>
      </c>
    </row>
    <row r="8" customFormat="false" ht="36" hidden="false" customHeight="true" outlineLevel="0" collapsed="false">
      <c r="B8" s="37" t="s">
        <v>53</v>
      </c>
    </row>
    <row r="9" customFormat="false" ht="19.5" hidden="false" customHeight="true" outlineLevel="0" collapsed="false">
      <c r="B9" s="36"/>
    </row>
    <row r="10" customFormat="false" ht="19.5" hidden="false" customHeight="true" outlineLevel="0" collapsed="false">
      <c r="B10" s="38" t="s">
        <v>54</v>
      </c>
    </row>
    <row r="11" customFormat="false" ht="36" hidden="false" customHeight="true" outlineLevel="0" collapsed="false">
      <c r="B11" s="37" t="s">
        <v>55</v>
      </c>
    </row>
    <row r="12" customFormat="false" ht="36" hidden="false" customHeight="true" outlineLevel="0" collapsed="false">
      <c r="B12" s="37" t="s">
        <v>56</v>
      </c>
    </row>
    <row r="13" customFormat="false" ht="36" hidden="false" customHeight="true" outlineLevel="0" collapsed="false">
      <c r="B13" s="37" t="s">
        <v>57</v>
      </c>
    </row>
    <row r="14" customFormat="false" ht="19.5" hidden="false" customHeight="true" outlineLevel="0" collapsed="false">
      <c r="B14" s="39"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2026-10-26T23:11:28Z</dcterms:created>
  <dc:creator>openpyxl</dc:creator>
  <dc:description/>
  <dc:language>en-US</dc:language>
  <cp:lastModifiedBy/>
  <dcterms:modified xsi:type="dcterms:W3CDTF">2026-10-26T23:12:02Z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